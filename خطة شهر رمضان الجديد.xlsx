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9098ec69886062/Documents/"/>
    </mc:Choice>
  </mc:AlternateContent>
  <xr:revisionPtr revIDLastSave="0" documentId="8_{7DAEBE25-D2EA-4046-BEEC-DA384350B25E}" xr6:coauthVersionLast="45" xr6:coauthVersionMax="45" xr10:uidLastSave="{00000000-0000-0000-0000-000000000000}"/>
  <bookViews>
    <workbookView xWindow="-108" yWindow="-108" windowWidth="23256" windowHeight="12456" xr2:uid="{5ACB13F7-F389-4A99-A97B-EB23D855408F}"/>
  </bookViews>
  <sheets>
    <sheet name="خطة شهر رمضان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AA11" i="1"/>
  <c r="AA10" i="1"/>
  <c r="T10" i="1"/>
  <c r="S10" i="1"/>
  <c r="L10" i="1"/>
  <c r="G10" i="1"/>
  <c r="Z11" i="1"/>
  <c r="Z10" i="1"/>
  <c r="T11" i="1"/>
  <c r="N11" i="1"/>
  <c r="N10" i="1"/>
  <c r="L11" i="1"/>
  <c r="E10" i="1"/>
  <c r="E11" i="1"/>
  <c r="S11" i="1" l="1"/>
  <c r="G11" i="1"/>
  <c r="L6" i="1" s="1"/>
  <c r="K6" i="1"/>
  <c r="B4" i="1"/>
  <c r="L4" i="1" s="1"/>
  <c r="K4" i="1" l="1"/>
</calcChain>
</file>

<file path=xl/sharedStrings.xml><?xml version="1.0" encoding="utf-8"?>
<sst xmlns="http://schemas.openxmlformats.org/spreadsheetml/2006/main" count="89" uniqueCount="53">
  <si>
    <t>الصلوات</t>
  </si>
  <si>
    <t xml:space="preserve">الظهر </t>
  </si>
  <si>
    <t xml:space="preserve">العصر </t>
  </si>
  <si>
    <t xml:space="preserve">المغرب </t>
  </si>
  <si>
    <t>العشاء</t>
  </si>
  <si>
    <t>الفجر</t>
  </si>
  <si>
    <t>القراءه</t>
  </si>
  <si>
    <t>ورد الفجر</t>
  </si>
  <si>
    <t xml:space="preserve">ورد الظهر </t>
  </si>
  <si>
    <t>ورد العصر</t>
  </si>
  <si>
    <t>ورد المغرب</t>
  </si>
  <si>
    <t>ورد العشاء</t>
  </si>
  <si>
    <t>4 رمضان</t>
  </si>
  <si>
    <t>2 رمضان</t>
  </si>
  <si>
    <t>3 رمضان</t>
  </si>
  <si>
    <t>5 رمضان</t>
  </si>
  <si>
    <t>6 رمضان</t>
  </si>
  <si>
    <t>7 رمضان</t>
  </si>
  <si>
    <t>8 رمضان</t>
  </si>
  <si>
    <t>9 رمضان</t>
  </si>
  <si>
    <t>10 رمضان</t>
  </si>
  <si>
    <t>11 رمضان</t>
  </si>
  <si>
    <t>12 رمضان</t>
  </si>
  <si>
    <t>13 رمضان</t>
  </si>
  <si>
    <t>14 رمضان</t>
  </si>
  <si>
    <t>15 رمضان</t>
  </si>
  <si>
    <t>16 رمضان</t>
  </si>
  <si>
    <t>18 رمضان</t>
  </si>
  <si>
    <t>19 رمضان</t>
  </si>
  <si>
    <t>20 رمضان</t>
  </si>
  <si>
    <t>21 رمضان</t>
  </si>
  <si>
    <t>22 رمضان</t>
  </si>
  <si>
    <t>23 رمضان</t>
  </si>
  <si>
    <t>24 رمضان</t>
  </si>
  <si>
    <t>25 رمضان</t>
  </si>
  <si>
    <t>26 رمضان</t>
  </si>
  <si>
    <t>27 رمضان</t>
  </si>
  <si>
    <t>28 رمضان</t>
  </si>
  <si>
    <t>29 رمضان</t>
  </si>
  <si>
    <t>17 رمضان</t>
  </si>
  <si>
    <t xml:space="preserve"> اول ايام الشهر الكريم </t>
  </si>
  <si>
    <t>الاسبوع الاول</t>
  </si>
  <si>
    <t xml:space="preserve"> الاسبوع الثاني</t>
  </si>
  <si>
    <t xml:space="preserve"> الاسبوع الثالث</t>
  </si>
  <si>
    <t xml:space="preserve"> الاسبوع الرابع</t>
  </si>
  <si>
    <t xml:space="preserve"> اجمالي الصلوات</t>
  </si>
  <si>
    <t>اجمالي الاجزاء</t>
  </si>
  <si>
    <t>هدف الاسبوع- الصلاه</t>
  </si>
  <si>
    <t>هدف الاسبوع- القراءه</t>
  </si>
  <si>
    <t>هدف الصلوات</t>
  </si>
  <si>
    <t xml:space="preserve"> هدف الاجزاء</t>
  </si>
  <si>
    <t>نسبة التحقيق</t>
  </si>
  <si>
    <t>تحدي شهر رمضان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</si>
</sst>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B050"/>
      </right>
      <top/>
      <bottom/>
      <diagonal/>
    </border>
    <border>
      <left/>
      <right style="thick">
        <color rgb="FF92D05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Border="1"/>
    <xf numFmtId="0" fontId="0" fillId="3" borderId="0" xfId="0" applyFill="1" applyBorder="1"/>
    <xf numFmtId="0" fontId="0" fillId="4" borderId="0" xfId="0" applyFill="1" applyBorder="1"/>
    <xf numFmtId="0" fontId="0" fillId="2" borderId="0" xfId="0" applyFill="1" applyBorder="1"/>
    <xf numFmtId="0" fontId="1" fillId="5" borderId="0" xfId="0" applyFont="1" applyFill="1" applyBorder="1"/>
    <xf numFmtId="0" fontId="2" fillId="6" borderId="0" xfId="0" applyFont="1" applyFill="1" applyBorder="1"/>
    <xf numFmtId="0" fontId="2" fillId="7" borderId="0" xfId="0" applyFont="1" applyFill="1" applyBorder="1"/>
    <xf numFmtId="0" fontId="0" fillId="7" borderId="0" xfId="0" applyFill="1" applyBorder="1"/>
    <xf numFmtId="0" fontId="0" fillId="7" borderId="0" xfId="0" applyFill="1"/>
    <xf numFmtId="0" fontId="0" fillId="9" borderId="0" xfId="0" applyFill="1"/>
    <xf numFmtId="0" fontId="0" fillId="10" borderId="0" xfId="0" applyFill="1"/>
    <xf numFmtId="0" fontId="0" fillId="10" borderId="0" xfId="0" applyFill="1" applyBorder="1"/>
    <xf numFmtId="0" fontId="0" fillId="12" borderId="0" xfId="0" applyFill="1" applyBorder="1"/>
    <xf numFmtId="0" fontId="0" fillId="13" borderId="0" xfId="0" applyFill="1" applyBorder="1"/>
    <xf numFmtId="1" fontId="0" fillId="0" borderId="0" xfId="0" applyNumberFormat="1"/>
    <xf numFmtId="0" fontId="0" fillId="0" borderId="0" xfId="0" applyFill="1" applyBorder="1"/>
    <xf numFmtId="0" fontId="0" fillId="14" borderId="0" xfId="0" applyFill="1"/>
    <xf numFmtId="9" fontId="0" fillId="14" borderId="0" xfId="0" applyNumberFormat="1" applyFill="1"/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108857</xdr:colOff>
      <xdr:row>2</xdr:row>
      <xdr:rowOff>8374</xdr:rowOff>
    </xdr:from>
    <xdr:to>
      <xdr:col>30</xdr:col>
      <xdr:colOff>0</xdr:colOff>
      <xdr:row>11</xdr:row>
      <xdr:rowOff>1</xdr:rowOff>
    </xdr:to>
    <xdr:pic>
      <xdr:nvPicPr>
        <xdr:cNvPr id="2" name="Picture 1" descr="ستاند هلال رمضان كريم 35 سم - ديكور اسلامي ذهبي - قطعتين ...">
          <a:extLst>
            <a:ext uri="{FF2B5EF4-FFF2-40B4-BE49-F238E27FC236}">
              <a16:creationId xmlns:a16="http://schemas.microsoft.com/office/drawing/2014/main" id="{F87C3C21-DBCE-412F-B3C0-95A468774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6786857" y="376814"/>
          <a:ext cx="1724967" cy="1649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885-7D25-453B-82FA-186F3C550D7F}">
  <dimension ref="A1:AD26"/>
  <sheetViews>
    <sheetView showGridLines="0" rightToLeft="1" tabSelected="1" zoomScale="91" workbookViewId="0">
      <selection activeCell="Q5" sqref="Q5"/>
    </sheetView>
  </sheetViews>
  <sheetFormatPr defaultRowHeight="14.4" x14ac:dyDescent="0.3"/>
  <cols>
    <col min="1" max="1" width="11.77734375" bestFit="1" customWidth="1"/>
    <col min="2" max="2" width="15.109375" bestFit="1" customWidth="1"/>
    <col min="8" max="8" width="10.77734375" bestFit="1" customWidth="1"/>
    <col min="9" max="9" width="9.77734375" bestFit="1" customWidth="1"/>
    <col min="10" max="10" width="9.88671875" bestFit="1" customWidth="1"/>
    <col min="16" max="16" width="10.5546875" bestFit="1" customWidth="1"/>
    <col min="19" max="19" width="11.88671875" bestFit="1" customWidth="1"/>
    <col min="22" max="22" width="9.77734375" bestFit="1" customWidth="1"/>
    <col min="23" max="23" width="8.44140625" bestFit="1" customWidth="1"/>
    <col min="25" max="25" width="8.44140625" bestFit="1" customWidth="1"/>
    <col min="26" max="26" width="12.6640625" bestFit="1" customWidth="1"/>
  </cols>
  <sheetData>
    <row r="1" spans="1:30" x14ac:dyDescent="0.3">
      <c r="A1" s="22" t="s">
        <v>52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4" spans="1:30" x14ac:dyDescent="0.3">
      <c r="A4" s="10" t="s">
        <v>45</v>
      </c>
      <c r="B4" s="28">
        <f>SUM(B15:AD19)</f>
        <v>145</v>
      </c>
      <c r="C4" s="28"/>
      <c r="D4" s="28"/>
      <c r="E4" s="29"/>
      <c r="H4" s="17" t="s">
        <v>49</v>
      </c>
      <c r="I4" s="17">
        <v>145</v>
      </c>
      <c r="J4" s="17" t="s">
        <v>51</v>
      </c>
      <c r="K4" s="18">
        <f>B4/I4</f>
        <v>1</v>
      </c>
      <c r="L4" s="27" t="str">
        <f>IF(AND(B4&gt;100, B4&lt;145), "خلاص قربت يا بطل", IF(B4=145, "مبروووك يا بطل جزاك الله خير", IF(N10+T10+AA10=400, "مبروك يا بطل فاضلك تكه وتوصل", IF(G10+N10+T10=300, "مبروك حققت هدف الاسبوع الثالث", IF(G10+N10=200, "مبروك حققت هدف الاسبوع الثاني", IF(G10=100, "مبروك حققت هدف الاسبوع الاول"))))))</f>
        <v>مبروووك يا بطل جزاك الله خير</v>
      </c>
      <c r="M4" s="27"/>
      <c r="N4" s="27"/>
    </row>
    <row r="6" spans="1:30" x14ac:dyDescent="0.3">
      <c r="A6" s="11" t="s">
        <v>46</v>
      </c>
      <c r="B6" s="28">
        <f>SUM(B21:AD25)/4.833333333</f>
        <v>30.000000002068969</v>
      </c>
      <c r="C6" s="28"/>
      <c r="D6" s="28"/>
      <c r="E6" s="30"/>
      <c r="H6" s="17" t="s">
        <v>50</v>
      </c>
      <c r="I6" s="17">
        <v>30</v>
      </c>
      <c r="J6" s="17" t="s">
        <v>51</v>
      </c>
      <c r="K6" s="18">
        <f>B6/I6</f>
        <v>1.0000000000689657</v>
      </c>
      <c r="L6" s="27" t="str">
        <f>IF(AND(B6&gt;26,B6&lt;30),"خلاص قربت يا بطل",IF(G11+N11+T11+AA11=400,"مبروووك يا بطل جزاك الله خير",IF(B6=30," مبرووك يا بطل",IF(G11+N11+T11=300,"برافو حققت هدف الاسبوع التالت",IF(G11+N11=200,"برافو حققت هدف الاسبوع التاني",IF(G11=100,"مبروك حققت هدف الاسبوع الاول"))))))</f>
        <v>مبروووك يا بطل جزاك الله خير</v>
      </c>
      <c r="M6" s="27"/>
      <c r="N6" s="27"/>
    </row>
    <row r="10" spans="1:30" x14ac:dyDescent="0.3">
      <c r="C10" s="31" t="s">
        <v>47</v>
      </c>
      <c r="D10" s="31"/>
      <c r="E10" s="20" t="str">
        <f>IF(SUM(B15:H19)=35,"تم تحقيق الهدف","لم يتم الوصول")</f>
        <v>تم تحقيق الهدف</v>
      </c>
      <c r="F10" s="20"/>
      <c r="G10" s="15">
        <f>(SUM(B15:H19)/35)*100</f>
        <v>100</v>
      </c>
      <c r="J10" s="19" t="s">
        <v>47</v>
      </c>
      <c r="K10" s="19"/>
      <c r="L10" s="20" t="str">
        <f>IF(SUM(I15:O19)=35,"تم تحقيق الهدف","لم يتم الوصول")</f>
        <v>تم تحقيق الهدف</v>
      </c>
      <c r="M10" s="20"/>
      <c r="N10">
        <f>(SUM(I15:O19)/35)*100</f>
        <v>100</v>
      </c>
      <c r="Q10" s="21" t="s">
        <v>47</v>
      </c>
      <c r="R10" s="21"/>
      <c r="S10" t="str">
        <f>IF(SUM(P15:V19)=35,"تم تحقيق الهدف","لم يتم الوصول")</f>
        <v>تم تحقيق الهدف</v>
      </c>
      <c r="T10">
        <f>(SUM(P15:V19)/35)*100</f>
        <v>100</v>
      </c>
      <c r="X10" s="32" t="s">
        <v>47</v>
      </c>
      <c r="Y10" s="32"/>
      <c r="Z10" t="str">
        <f>IF(SUM(W15:AC19)=35,"تم تحقيق الهدف","لم يتم الوصول")</f>
        <v>تم تحقيق الهدف</v>
      </c>
      <c r="AA10">
        <f>(SUM(W15:AC19)/35)*100</f>
        <v>100</v>
      </c>
    </row>
    <row r="11" spans="1:30" x14ac:dyDescent="0.3">
      <c r="C11" s="31" t="s">
        <v>48</v>
      </c>
      <c r="D11" s="31"/>
      <c r="E11" s="20" t="str">
        <f>IF(SUM(B21:H25)=35,"تم تحقيق الهدف","لم يتم الوصول")</f>
        <v>تم تحقيق الهدف</v>
      </c>
      <c r="F11" s="20"/>
      <c r="G11" s="15">
        <f>(SUM(B21:H25)/35)*100</f>
        <v>100</v>
      </c>
      <c r="J11" s="19" t="s">
        <v>48</v>
      </c>
      <c r="K11" s="19"/>
      <c r="L11" s="20" t="str">
        <f>IF(SUM(I21:O25)=35,"تم تحقيق الهدف","لم يتم الوصول")</f>
        <v>تم تحقيق الهدف</v>
      </c>
      <c r="M11" s="20"/>
      <c r="N11">
        <f>(SUM(I21:O25)/35)*100</f>
        <v>100</v>
      </c>
      <c r="Q11" s="21" t="s">
        <v>48</v>
      </c>
      <c r="R11" s="21"/>
      <c r="S11" t="str">
        <f>IF(SUM(P21:V25)=35,"تم تحقيق الهدف","لم يتم الوصول")</f>
        <v>تم تحقيق الهدف</v>
      </c>
      <c r="T11">
        <f>(SUM(P21:V25)/35)*100</f>
        <v>100</v>
      </c>
      <c r="X11" s="32" t="s">
        <v>48</v>
      </c>
      <c r="Y11" s="32"/>
      <c r="Z11" t="str">
        <f>IF(SUM(W21:AC25)=35,"تم تحقيق الهدف","لم يتم الوصول")</f>
        <v>تم تحقيق الهدف</v>
      </c>
      <c r="AA11">
        <f>(SUM(W21:AC25)/35)*100</f>
        <v>100</v>
      </c>
    </row>
    <row r="13" spans="1:30" x14ac:dyDescent="0.3">
      <c r="A13" s="5"/>
      <c r="B13" s="23" t="s">
        <v>41</v>
      </c>
      <c r="C13" s="23"/>
      <c r="D13" s="23"/>
      <c r="E13" s="23"/>
      <c r="F13" s="23"/>
      <c r="G13" s="23"/>
      <c r="H13" s="23"/>
      <c r="I13" s="24" t="s">
        <v>42</v>
      </c>
      <c r="J13" s="24"/>
      <c r="K13" s="24"/>
      <c r="L13" s="24"/>
      <c r="M13" s="24"/>
      <c r="N13" s="24"/>
      <c r="O13" s="24"/>
      <c r="P13" s="25" t="s">
        <v>43</v>
      </c>
      <c r="Q13" s="25"/>
      <c r="R13" s="25"/>
      <c r="S13" s="25"/>
      <c r="T13" s="25"/>
      <c r="U13" s="25"/>
      <c r="V13" s="25"/>
      <c r="W13" s="26" t="s">
        <v>44</v>
      </c>
      <c r="X13" s="26"/>
      <c r="Y13" s="26"/>
      <c r="Z13" s="26"/>
      <c r="AA13" s="26"/>
      <c r="AB13" s="26"/>
      <c r="AC13" s="26"/>
      <c r="AD13" s="1"/>
    </row>
    <row r="14" spans="1:30" x14ac:dyDescent="0.3">
      <c r="A14" s="6" t="s">
        <v>0</v>
      </c>
      <c r="B14" s="14" t="s">
        <v>40</v>
      </c>
      <c r="C14" s="14" t="s">
        <v>13</v>
      </c>
      <c r="D14" s="14" t="s">
        <v>14</v>
      </c>
      <c r="E14" s="14" t="s">
        <v>12</v>
      </c>
      <c r="F14" s="14" t="s">
        <v>15</v>
      </c>
      <c r="G14" s="14" t="s">
        <v>16</v>
      </c>
      <c r="H14" s="14" t="s">
        <v>17</v>
      </c>
      <c r="I14" s="13" t="s">
        <v>18</v>
      </c>
      <c r="J14" s="13" t="s">
        <v>19</v>
      </c>
      <c r="K14" s="13" t="s">
        <v>20</v>
      </c>
      <c r="L14" s="13" t="s">
        <v>21</v>
      </c>
      <c r="M14" s="13" t="s">
        <v>22</v>
      </c>
      <c r="N14" s="13" t="s">
        <v>23</v>
      </c>
      <c r="O14" s="13" t="s">
        <v>24</v>
      </c>
      <c r="P14" s="12" t="s">
        <v>25</v>
      </c>
      <c r="Q14" s="12" t="s">
        <v>26</v>
      </c>
      <c r="R14" s="12" t="s">
        <v>39</v>
      </c>
      <c r="S14" s="12" t="s">
        <v>27</v>
      </c>
      <c r="T14" s="12" t="s">
        <v>28</v>
      </c>
      <c r="U14" s="12" t="s">
        <v>29</v>
      </c>
      <c r="V14" s="12" t="s">
        <v>30</v>
      </c>
      <c r="W14" s="2" t="s">
        <v>31</v>
      </c>
      <c r="X14" s="2" t="s">
        <v>32</v>
      </c>
      <c r="Y14" s="2" t="s">
        <v>33</v>
      </c>
      <c r="Z14" s="2" t="s">
        <v>34</v>
      </c>
      <c r="AA14" s="2" t="s">
        <v>35</v>
      </c>
      <c r="AB14" s="2" t="s">
        <v>36</v>
      </c>
      <c r="AC14" s="2" t="s">
        <v>37</v>
      </c>
      <c r="AD14" s="3" t="s">
        <v>38</v>
      </c>
    </row>
    <row r="15" spans="1:30" x14ac:dyDescent="0.3">
      <c r="A15" s="7" t="s">
        <v>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  <c r="R15" s="16">
        <v>1</v>
      </c>
      <c r="S15" s="16">
        <v>1</v>
      </c>
      <c r="T15" s="16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  <c r="AA15" s="16">
        <v>1</v>
      </c>
      <c r="AB15" s="16">
        <v>1</v>
      </c>
      <c r="AC15" s="16">
        <v>1</v>
      </c>
      <c r="AD15" s="16">
        <v>1</v>
      </c>
    </row>
    <row r="16" spans="1:30" x14ac:dyDescent="0.3">
      <c r="A16" s="8" t="s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  <c r="R16" s="16">
        <v>1</v>
      </c>
      <c r="S16" s="16">
        <v>1</v>
      </c>
      <c r="T16" s="16">
        <v>1</v>
      </c>
      <c r="U16" s="16">
        <v>1</v>
      </c>
      <c r="V16" s="16">
        <v>1</v>
      </c>
      <c r="W16" s="16">
        <v>1</v>
      </c>
      <c r="X16" s="16">
        <v>1</v>
      </c>
      <c r="Y16" s="16">
        <v>1</v>
      </c>
      <c r="Z16" s="16">
        <v>1</v>
      </c>
      <c r="AA16" s="16">
        <v>1</v>
      </c>
      <c r="AB16" s="16">
        <v>1</v>
      </c>
      <c r="AC16" s="16">
        <v>1</v>
      </c>
      <c r="AD16" s="16">
        <v>1</v>
      </c>
    </row>
    <row r="17" spans="1:30" x14ac:dyDescent="0.3">
      <c r="A17" s="8" t="s">
        <v>2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  <c r="R17" s="16">
        <v>1</v>
      </c>
      <c r="S17" s="16">
        <v>1</v>
      </c>
      <c r="T17" s="16">
        <v>1</v>
      </c>
      <c r="U17" s="16">
        <v>1</v>
      </c>
      <c r="V17" s="16">
        <v>1</v>
      </c>
      <c r="W17" s="16">
        <v>1</v>
      </c>
      <c r="X17" s="16">
        <v>1</v>
      </c>
      <c r="Y17" s="16">
        <v>1</v>
      </c>
      <c r="Z17" s="16">
        <v>1</v>
      </c>
      <c r="AA17" s="16">
        <v>1</v>
      </c>
      <c r="AB17" s="16">
        <v>1</v>
      </c>
      <c r="AC17" s="16">
        <v>1</v>
      </c>
      <c r="AD17" s="16">
        <v>1</v>
      </c>
    </row>
    <row r="18" spans="1:30" x14ac:dyDescent="0.3">
      <c r="A18" s="8" t="s">
        <v>3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  <c r="R18" s="16">
        <v>1</v>
      </c>
      <c r="S18" s="16">
        <v>1</v>
      </c>
      <c r="T18" s="16">
        <v>1</v>
      </c>
      <c r="U18" s="16">
        <v>1</v>
      </c>
      <c r="V18" s="16">
        <v>1</v>
      </c>
      <c r="W18" s="16">
        <v>1</v>
      </c>
      <c r="X18" s="16">
        <v>1</v>
      </c>
      <c r="Y18" s="16">
        <v>1</v>
      </c>
      <c r="Z18" s="16">
        <v>1</v>
      </c>
      <c r="AA18" s="16">
        <v>1</v>
      </c>
      <c r="AB18" s="16">
        <v>1</v>
      </c>
      <c r="AC18" s="16">
        <v>1</v>
      </c>
      <c r="AD18" s="16">
        <v>1</v>
      </c>
    </row>
    <row r="19" spans="1:30" x14ac:dyDescent="0.3">
      <c r="A19" s="8" t="s">
        <v>4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  <c r="R19" s="16">
        <v>1</v>
      </c>
      <c r="S19" s="16">
        <v>1</v>
      </c>
      <c r="T19" s="16">
        <v>1</v>
      </c>
      <c r="U19" s="16">
        <v>1</v>
      </c>
      <c r="V19" s="16">
        <v>1</v>
      </c>
      <c r="W19" s="16">
        <v>1</v>
      </c>
      <c r="X19" s="16">
        <v>1</v>
      </c>
      <c r="Y19" s="16">
        <v>1</v>
      </c>
      <c r="Z19" s="16">
        <v>1</v>
      </c>
      <c r="AA19" s="16">
        <v>1</v>
      </c>
      <c r="AB19" s="16">
        <v>1</v>
      </c>
      <c r="AC19" s="16">
        <v>1</v>
      </c>
      <c r="AD19" s="16">
        <v>1</v>
      </c>
    </row>
    <row r="20" spans="1:30" x14ac:dyDescent="0.3">
      <c r="A20" s="6" t="s">
        <v>6</v>
      </c>
      <c r="B20" s="4" t="s">
        <v>40</v>
      </c>
      <c r="C20" s="4" t="s">
        <v>13</v>
      </c>
      <c r="D20" s="4" t="s">
        <v>14</v>
      </c>
      <c r="E20" s="4" t="s">
        <v>12</v>
      </c>
      <c r="F20" s="4" t="s">
        <v>15</v>
      </c>
      <c r="G20" s="4" t="s">
        <v>16</v>
      </c>
      <c r="H20" s="4" t="s">
        <v>17</v>
      </c>
      <c r="I20" s="13" t="s">
        <v>18</v>
      </c>
      <c r="J20" s="13" t="s">
        <v>19</v>
      </c>
      <c r="K20" s="13" t="s">
        <v>20</v>
      </c>
      <c r="L20" s="13" t="s">
        <v>21</v>
      </c>
      <c r="M20" s="13" t="s">
        <v>22</v>
      </c>
      <c r="N20" s="13" t="s">
        <v>23</v>
      </c>
      <c r="O20" s="13" t="s">
        <v>24</v>
      </c>
      <c r="P20" s="12" t="s">
        <v>25</v>
      </c>
      <c r="Q20" s="12" t="s">
        <v>26</v>
      </c>
      <c r="R20" s="12" t="s">
        <v>39</v>
      </c>
      <c r="S20" s="12" t="s">
        <v>27</v>
      </c>
      <c r="T20" s="12" t="s">
        <v>28</v>
      </c>
      <c r="U20" s="12" t="s">
        <v>29</v>
      </c>
      <c r="V20" s="12" t="s">
        <v>30</v>
      </c>
      <c r="W20" s="2" t="s">
        <v>31</v>
      </c>
      <c r="X20" s="2" t="s">
        <v>32</v>
      </c>
      <c r="Y20" s="2" t="s">
        <v>33</v>
      </c>
      <c r="Z20" s="2" t="s">
        <v>34</v>
      </c>
      <c r="AA20" s="2" t="s">
        <v>35</v>
      </c>
      <c r="AB20" s="2" t="s">
        <v>36</v>
      </c>
      <c r="AC20" s="2" t="s">
        <v>37</v>
      </c>
      <c r="AD20" s="3" t="s">
        <v>38</v>
      </c>
    </row>
    <row r="21" spans="1:30" x14ac:dyDescent="0.3">
      <c r="A21" s="8" t="s">
        <v>7</v>
      </c>
      <c r="B21" s="16">
        <v>1</v>
      </c>
      <c r="C21" s="16">
        <v>1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  <c r="R21" s="16">
        <v>1</v>
      </c>
      <c r="S21" s="16">
        <v>1</v>
      </c>
      <c r="T21" s="16">
        <v>1</v>
      </c>
      <c r="U21" s="16">
        <v>1</v>
      </c>
      <c r="V21" s="16">
        <v>1</v>
      </c>
      <c r="W21" s="16">
        <v>1</v>
      </c>
      <c r="X21" s="16">
        <v>1</v>
      </c>
      <c r="Y21" s="16">
        <v>1</v>
      </c>
      <c r="Z21" s="16">
        <v>1</v>
      </c>
      <c r="AA21" s="16">
        <v>1</v>
      </c>
      <c r="AB21" s="16">
        <v>1</v>
      </c>
      <c r="AC21" s="16">
        <v>1</v>
      </c>
      <c r="AD21" s="16">
        <v>1</v>
      </c>
    </row>
    <row r="22" spans="1:30" x14ac:dyDescent="0.3">
      <c r="A22" s="8" t="s">
        <v>8</v>
      </c>
      <c r="B22" s="16">
        <v>1</v>
      </c>
      <c r="C22" s="16">
        <v>1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  <c r="R22" s="16">
        <v>1</v>
      </c>
      <c r="S22" s="16">
        <v>1</v>
      </c>
      <c r="T22" s="16">
        <v>1</v>
      </c>
      <c r="U22" s="16">
        <v>1</v>
      </c>
      <c r="V22" s="16">
        <v>1</v>
      </c>
      <c r="W22" s="16">
        <v>1</v>
      </c>
      <c r="X22" s="16">
        <v>1</v>
      </c>
      <c r="Y22" s="16">
        <v>1</v>
      </c>
      <c r="Z22" s="16">
        <v>1</v>
      </c>
      <c r="AA22" s="16">
        <v>1</v>
      </c>
      <c r="AB22" s="16">
        <v>1</v>
      </c>
      <c r="AC22" s="16">
        <v>1</v>
      </c>
      <c r="AD22" s="16">
        <v>1</v>
      </c>
    </row>
    <row r="23" spans="1:30" x14ac:dyDescent="0.3">
      <c r="A23" s="8" t="s">
        <v>9</v>
      </c>
      <c r="B23" s="16">
        <v>1</v>
      </c>
      <c r="C23" s="16">
        <v>1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  <c r="R23" s="16">
        <v>1</v>
      </c>
      <c r="S23" s="16">
        <v>1</v>
      </c>
      <c r="T23" s="16">
        <v>1</v>
      </c>
      <c r="U23" s="16">
        <v>1</v>
      </c>
      <c r="V23" s="16">
        <v>1</v>
      </c>
      <c r="W23" s="16">
        <v>1</v>
      </c>
      <c r="X23" s="16">
        <v>1</v>
      </c>
      <c r="Y23" s="16">
        <v>1</v>
      </c>
      <c r="Z23" s="16">
        <v>1</v>
      </c>
      <c r="AA23" s="16">
        <v>1</v>
      </c>
      <c r="AB23" s="16">
        <v>1</v>
      </c>
      <c r="AC23" s="16">
        <v>1</v>
      </c>
      <c r="AD23" s="16">
        <v>1</v>
      </c>
    </row>
    <row r="24" spans="1:30" x14ac:dyDescent="0.3">
      <c r="A24" s="8" t="s">
        <v>10</v>
      </c>
      <c r="B24" s="16">
        <v>1</v>
      </c>
      <c r="C24" s="16">
        <v>1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  <c r="R24" s="16">
        <v>1</v>
      </c>
      <c r="S24" s="16">
        <v>1</v>
      </c>
      <c r="T24" s="16">
        <v>1</v>
      </c>
      <c r="U24" s="16">
        <v>1</v>
      </c>
      <c r="V24" s="16">
        <v>1</v>
      </c>
      <c r="W24" s="16">
        <v>1</v>
      </c>
      <c r="X24" s="16">
        <v>1</v>
      </c>
      <c r="Y24" s="16">
        <v>1</v>
      </c>
      <c r="Z24" s="16">
        <v>1</v>
      </c>
      <c r="AA24" s="16">
        <v>1</v>
      </c>
      <c r="AB24" s="16">
        <v>1</v>
      </c>
      <c r="AC24" s="16">
        <v>1</v>
      </c>
      <c r="AD24" s="16">
        <v>1</v>
      </c>
    </row>
    <row r="25" spans="1:30" x14ac:dyDescent="0.3">
      <c r="A25" s="9" t="s">
        <v>11</v>
      </c>
      <c r="B25" s="16">
        <v>1</v>
      </c>
      <c r="C25" s="16">
        <v>1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  <c r="R25" s="16">
        <v>1</v>
      </c>
      <c r="S25" s="16">
        <v>1</v>
      </c>
      <c r="T25" s="16">
        <v>1</v>
      </c>
      <c r="U25" s="16">
        <v>1</v>
      </c>
      <c r="V25" s="16">
        <v>1</v>
      </c>
      <c r="W25" s="16">
        <v>1</v>
      </c>
      <c r="X25" s="16">
        <v>1</v>
      </c>
      <c r="Y25" s="16">
        <v>1</v>
      </c>
      <c r="Z25" s="16">
        <v>1</v>
      </c>
      <c r="AA25" s="16">
        <v>1</v>
      </c>
      <c r="AB25" s="16">
        <v>1</v>
      </c>
      <c r="AC25" s="16">
        <v>1</v>
      </c>
      <c r="AD25" s="16">
        <v>1</v>
      </c>
    </row>
    <row r="26" spans="1:30" x14ac:dyDescent="0.3">
      <c r="AD26" s="16"/>
    </row>
  </sheetData>
  <mergeCells count="21">
    <mergeCell ref="A1:AD2"/>
    <mergeCell ref="Q11:R11"/>
    <mergeCell ref="B13:H13"/>
    <mergeCell ref="I13:O13"/>
    <mergeCell ref="P13:V13"/>
    <mergeCell ref="W13:AC13"/>
    <mergeCell ref="L4:N4"/>
    <mergeCell ref="L6:N6"/>
    <mergeCell ref="B4:E4"/>
    <mergeCell ref="B6:E6"/>
    <mergeCell ref="C10:D10"/>
    <mergeCell ref="C11:D11"/>
    <mergeCell ref="E10:F10"/>
    <mergeCell ref="E11:F11"/>
    <mergeCell ref="X10:Y10"/>
    <mergeCell ref="X11:Y11"/>
    <mergeCell ref="J10:K10"/>
    <mergeCell ref="J11:K11"/>
    <mergeCell ref="L10:M10"/>
    <mergeCell ref="L11:M11"/>
    <mergeCell ref="Q10:R10"/>
  </mergeCells>
  <conditionalFormatting sqref="B15:H19">
    <cfRule type="cellIs" dxfId="14" priority="29" operator="greaterThan">
      <formula>0</formula>
    </cfRule>
  </conditionalFormatting>
  <conditionalFormatting sqref="I15:O19">
    <cfRule type="cellIs" dxfId="13" priority="24" operator="greaterThan">
      <formula>0</formula>
    </cfRule>
    <cfRule type="cellIs" dxfId="12" priority="25" operator="greaterThan">
      <formula>0</formula>
    </cfRule>
    <cfRule type="cellIs" dxfId="11" priority="28" operator="greaterThan">
      <formula>0</formula>
    </cfRule>
  </conditionalFormatting>
  <conditionalFormatting sqref="I21:O25">
    <cfRule type="cellIs" dxfId="10" priority="22" operator="greaterThan">
      <formula>0</formula>
    </cfRule>
    <cfRule type="cellIs" dxfId="9" priority="27" operator="greaterThan">
      <formula>0</formula>
    </cfRule>
  </conditionalFormatting>
  <conditionalFormatting sqref="P15:V19">
    <cfRule type="cellIs" dxfId="8" priority="19" operator="equal">
      <formula>1</formula>
    </cfRule>
    <cfRule type="cellIs" dxfId="7" priority="26" operator="greaterThan">
      <formula>0</formula>
    </cfRule>
  </conditionalFormatting>
  <conditionalFormatting sqref="B21:H25">
    <cfRule type="cellIs" dxfId="6" priority="23" operator="greaterThan">
      <formula>0</formula>
    </cfRule>
  </conditionalFormatting>
  <conditionalFormatting sqref="P21:V25">
    <cfRule type="cellIs" dxfId="5" priority="21" operator="greaterThan">
      <formula>0</formula>
    </cfRule>
  </conditionalFormatting>
  <conditionalFormatting sqref="B15:H25">
    <cfRule type="cellIs" dxfId="4" priority="20" operator="equal">
      <formula>1</formula>
    </cfRule>
  </conditionalFormatting>
  <conditionalFormatting sqref="W15:AC25 AD21:AD25">
    <cfRule type="cellIs" dxfId="3" priority="18" operator="equal">
      <formula>1</formula>
    </cfRule>
  </conditionalFormatting>
  <conditionalFormatting sqref="AD15:AD20 AD26">
    <cfRule type="cellIs" dxfId="2" priority="16" operator="greaterThan">
      <formula>1</formula>
    </cfRule>
    <cfRule type="cellIs" dxfId="1" priority="17" operator="equal">
      <formula>1</formula>
    </cfRule>
  </conditionalFormatting>
  <conditionalFormatting sqref="B4:E4">
    <cfRule type="dataBar" priority="13">
      <dataBar>
        <cfvo type="num" val="0"/>
        <cfvo type="num" val="145"/>
        <color rgb="FF92D050"/>
      </dataBar>
      <extLst>
        <ext xmlns:x14="http://schemas.microsoft.com/office/spreadsheetml/2009/9/main" uri="{B025F937-C7B1-47D3-B67F-A62EFF666E3E}">
          <x14:id>{80D99A34-403C-4974-9502-90CB0CE00A71}</x14:id>
        </ext>
      </extLst>
    </cfRule>
    <cfRule type="dataBar" priority="14">
      <dataBar>
        <cfvo type="num" val="0"/>
        <cfvo type="num" val="30"/>
        <color rgb="FFFFC000"/>
      </dataBar>
      <extLst>
        <ext xmlns:x14="http://schemas.microsoft.com/office/spreadsheetml/2009/9/main" uri="{B025F937-C7B1-47D3-B67F-A62EFF666E3E}">
          <x14:id>{89932F09-8850-4341-B10D-A6132718FB68}</x14:id>
        </ext>
      </extLst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{F4B1D95E-B51F-4EA7-9CCD-A62B3663E6DA}</x14:id>
        </ext>
      </extLst>
    </cfRule>
  </conditionalFormatting>
  <conditionalFormatting sqref="B6:E6">
    <cfRule type="dataBar" priority="12">
      <dataBar>
        <cfvo type="num" val="0"/>
        <cfvo type="num" val="30"/>
        <color rgb="FF92D050"/>
      </dataBar>
      <extLst>
        <ext xmlns:x14="http://schemas.microsoft.com/office/spreadsheetml/2009/9/main" uri="{B025F937-C7B1-47D3-B67F-A62EFF666E3E}">
          <x14:id>{4B7E27CD-418E-4126-9D96-5D3342E89FE3}</x14:id>
        </ext>
      </extLst>
    </cfRule>
  </conditionalFormatting>
  <conditionalFormatting sqref="G10">
    <cfRule type="iconSet" priority="9">
      <iconSet iconSet="3Symbols2">
        <cfvo type="percent" val="0"/>
        <cfvo type="num" val="60"/>
        <cfvo type="num" val="90"/>
      </iconSet>
    </cfRule>
    <cfRule type="iconSet" priority="10">
      <iconSet>
        <cfvo type="percent" val="0"/>
        <cfvo type="num" val="60"/>
        <cfvo type="num" val="90"/>
      </iconSet>
    </cfRule>
    <cfRule type="iconSet" priority="11">
      <iconSet iconSet="3Symbols2">
        <cfvo type="percent" val="0"/>
        <cfvo type="num" val="60"/>
        <cfvo type="num" val="90"/>
      </iconSet>
    </cfRule>
  </conditionalFormatting>
  <conditionalFormatting sqref="G11">
    <cfRule type="iconSet" priority="8">
      <iconSet iconSet="3Symbols2">
        <cfvo type="percent" val="0"/>
        <cfvo type="num" val="60"/>
        <cfvo type="num" val="90"/>
      </iconSet>
    </cfRule>
  </conditionalFormatting>
  <conditionalFormatting sqref="B21:H25">
    <cfRule type="cellIs" dxfId="0" priority="7" operator="greaterThan">
      <formula>0</formula>
    </cfRule>
  </conditionalFormatting>
  <conditionalFormatting sqref="N10">
    <cfRule type="iconSet" priority="6">
      <iconSet iconSet="3Symbols2">
        <cfvo type="percent" val="0"/>
        <cfvo type="num" val="60"/>
        <cfvo type="num" val="90"/>
      </iconSet>
    </cfRule>
  </conditionalFormatting>
  <conditionalFormatting sqref="N11">
    <cfRule type="iconSet" priority="5">
      <iconSet iconSet="3Symbols2">
        <cfvo type="percent" val="0"/>
        <cfvo type="num" val="60"/>
        <cfvo type="num" val="90"/>
      </iconSet>
    </cfRule>
  </conditionalFormatting>
  <conditionalFormatting sqref="T10">
    <cfRule type="iconSet" priority="4">
      <iconSet iconSet="3Symbols2">
        <cfvo type="percent" val="0"/>
        <cfvo type="num" val="60"/>
        <cfvo type="num" val="90"/>
      </iconSet>
    </cfRule>
  </conditionalFormatting>
  <conditionalFormatting sqref="T11">
    <cfRule type="iconSet" priority="3">
      <iconSet iconSet="3Symbols2">
        <cfvo type="percent" val="0"/>
        <cfvo type="num" val="60"/>
        <cfvo type="num" val="90"/>
      </iconSet>
    </cfRule>
  </conditionalFormatting>
  <conditionalFormatting sqref="AA10">
    <cfRule type="iconSet" priority="2">
      <iconSet iconSet="3Symbols2">
        <cfvo type="percent" val="0"/>
        <cfvo type="num" val="60"/>
        <cfvo type="num" val="90"/>
      </iconSet>
    </cfRule>
  </conditionalFormatting>
  <conditionalFormatting sqref="AA11">
    <cfRule type="iconSet" priority="1">
      <iconSet iconSet="3Symbols2">
        <cfvo type="percent" val="0"/>
        <cfvo type="num" val="60"/>
        <cfvo type="num" val="90"/>
      </iconSe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D99A34-403C-4974-9502-90CB0CE00A71}">
            <x14:dataBar minLength="0" maxLength="100" gradient="0">
              <x14:cfvo type="num">
                <xm:f>0</xm:f>
              </x14:cfvo>
              <x14:cfvo type="num">
                <xm:f>145</xm:f>
              </x14:cfvo>
              <x14:negativeFillColor rgb="FFFF0000"/>
              <x14:axisColor rgb="FF000000"/>
            </x14:dataBar>
          </x14:cfRule>
          <x14:cfRule type="dataBar" id="{89932F09-8850-4341-B10D-A6132718FB68}">
            <x14:dataBar minLength="0" maxLength="100" gradient="0">
              <x14:cfvo type="num">
                <xm:f>0</xm:f>
              </x14:cfvo>
              <x14:cfvo type="num">
                <xm:f>30</xm:f>
              </x14:cfvo>
              <x14:negativeFillColor rgb="FFFF0000"/>
              <x14:axisColor rgb="FF000000"/>
            </x14:dataBar>
          </x14:cfRule>
          <x14:cfRule type="dataBar" id="{F4B1D95E-B51F-4EA7-9CCD-A62B3663E6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B4:E4</xm:sqref>
        </x14:conditionalFormatting>
        <x14:conditionalFormatting xmlns:xm="http://schemas.microsoft.com/office/excel/2006/main">
          <x14:cfRule type="dataBar" id="{4B7E27CD-418E-4126-9D96-5D3342E89FE3}">
            <x14:dataBar minLength="0" maxLength="100" gradient="0">
              <x14:cfvo type="num">
                <xm:f>0</xm:f>
              </x14:cfvo>
              <x14:cfvo type="num">
                <xm:f>30</xm:f>
              </x14:cfvo>
              <x14:negativeFillColor rgb="FFFF0000"/>
              <x14:axisColor rgb="FF000000"/>
            </x14:dataBar>
          </x14:cfRule>
          <xm:sqref>B6:E6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خطة شهر رمضان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hatem</dc:creator>
  <cp:lastModifiedBy>Mahmoud hatem</cp:lastModifiedBy>
  <dcterms:created xsi:type="dcterms:W3CDTF">2026-06-30T23:16:50Z</dcterms:created>
  <dcterms:modified xsi:type="dcterms:W3CDTF">2026-07-08T23:54:28Z</dcterms:modified>
</cp:coreProperties>
</file>